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e8182026f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forecast" sheetId="1" r:id="R9521d5840f8a494d"/>
    <x:sheet xmlns:r="http://schemas.openxmlformats.org/officeDocument/2006/relationships" name="Expense detail" sheetId="2" r:id="R7bb979e0d94f4b24"/>
    <x:sheet xmlns:r="http://schemas.openxmlformats.org/officeDocument/2006/relationships" name="Inputs" sheetId="3" r:id="R83e7ac672072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FY25–26&quot;"/>
    <x:numFmt numFmtId="201" formatCode="&quot;FY26–27&quot;"/>
    <x:numFmt numFmtId="202" formatCode="&quot;FY27–28&quot;"/>
    <x:numFmt numFmtId="203" formatCode="&quot;FY28–29&quot;"/>
    <x:numFmt numFmtId="204" formatCode="#,##0.0;(#,##0.0);&quot;–&quot;"/>
    <x:numFmt numFmtId="205" formatCode="0.0%;(0.0%);&quot;–&quot;"/>
    <x:numFmt numFmtId="206" formatCode="0"/>
    <x:numFmt numFmtId="207" formatCode="0.00;(0.00);0.00"/>
  </x:numFmts>
  <x:fonts count="9">
    <x:font>
      <x:sz val="11"/>
      <x:name val="Carlito"/>
    </x:font>
    <x:font>
      <x:sz val="10"/>
      <x:color rgb="FF172B3A"/>
      <x:name val="Arial"/>
    </x:font>
    <x:font>
      <x:b/>
      <x:sz val="16"/>
      <x:color rgb="FF18344D"/>
      <x:name val="Arial"/>
    </x:font>
    <x:font>
      <x:i/>
      <x:sz val="10"/>
      <x:color rgb="FF172B3A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10"/>
      <x:color rgb="FF0000FF"/>
      <x:name val="Arial"/>
    </x:font>
    <x:font>
      <x:b/>
      <x:sz val="10"/>
      <x:color rgb="FF172B3A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44D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0F5"/>
      </x:patternFill>
    </x:fill>
  </x:fills>
  <x:borders count="2">
    <x:border/>
    <x:border>
      <x:top style="thin">
        <x:color rgb="FFBDCBD7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202" fontId="4" fillId="2" borderId="0" xfId="0" applyNumberFormat="1" applyFont="1" applyFill="1" applyBorder="1" applyAlignment="1">
      <x:alignment horizontal="center" vertical="center"/>
    </x:xf>
    <x:xf numFmtId="203" fontId="4" fillId="2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5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204" fontId="7" fillId="5" borderId="1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441af25f44c98" /><Relationship Type="http://schemas.openxmlformats.org/officeDocument/2006/relationships/theme" Target="/xl/theme/theme1.xml" Id="R5f82bdd9585a4aa7" /><Relationship Type="http://schemas.openxmlformats.org/officeDocument/2006/relationships/sharedStrings" Target="/xl/sharedStrings.xml" Id="Rbbc88125fe204956" /><Relationship Type="http://schemas.openxmlformats.org/officeDocument/2006/relationships/worksheet" Target="/xl/worksheets/sheet1.xml" Id="R9521d5840f8a494d" /><Relationship Type="http://schemas.openxmlformats.org/officeDocument/2006/relationships/worksheet" Target="/xl/worksheets/sheet2.xml" Id="R7bb979e0d94f4b24" /><Relationship Type="http://schemas.openxmlformats.org/officeDocument/2006/relationships/worksheet" Target="/xl/worksheets/sheet3.xml" Id="R83e7ac672072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3ab2ff6316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Revenue proxy and annual spend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 proxy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'Annual forecast'!$K$37:$K$40</c:f>
              <c:strCache>
                <c:ptCount val="0"/>
              </c:strCache>
            </c:strRef>
          </c:cat>
          <c:val>
            <c:numRef>
              <c:f>'Annual forecast'!$L$37:$L$40</c:f>
              <c:numCache>
                <c:formatCode>#,##0.0;(#,##0.0);"–"</c:formatCode>
                <c:ptCount val="0"/>
              </c:numCache>
            </c:numRef>
          </c:val>
        </c:ser>
        <c:ser>
          <c:idx val="1"/>
          <c:order val="1"/>
          <c:tx>
            <c:v>Annual spend</c:v>
          </c:tx>
          <c:spPr>
            <a:solidFill xmlns:a="http://schemas.openxmlformats.org/drawingml/2006/main">
              <a:srgbClr val="BF8F36"/>
            </a:solidFill>
          </c:spPr>
          <c:cat>
            <c:strRef>
              <c:f>'Annual forecast'!$K$37:$K$40</c:f>
              <c:strCache>
                <c:ptCount val="0"/>
              </c:strCache>
            </c:strRef>
          </c:cat>
          <c:val>
            <c:numRef>
              <c:f>'Annual forecast'!$M$37:$M$40</c:f>
              <c:numCache>
                <c:formatCode>#,##0.0;(#,##0.0);"–"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35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3ab2ff631648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07ae7a075b4270" /></Relationships>
</file>

<file path=xl/worksheets/sheet1.xml><?xml version="1.0" encoding="utf-8"?>
<x:worksheet xmlns:x="http://schemas.openxmlformats.org/spreadsheetml/2006/main">
  <x:sheetPr>
    <x:tabColor rgb="FF1834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2"/>
      <x:c r="B2" s="2"/>
      <x:c r="C2" s="3" t="str">
        <x:v>India annual financial model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2"/>
      <x:c r="C3" s="4" t="str">
        <x:v>INR crore. Revenue is used as a proxy for customer collections.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8" customHeight="1">
      <x:c r="A5" s="2"/>
      <x:c r="B5" s="2"/>
      <x:c r="C5" s="14" t="str">
        <x:v>₹ crore</x:v>
      </x:c>
      <x:c r="D5" s="19" t="n">
        <x:v>45748</x:v>
      </x:c>
      <x:c r="E5" s="20" t="n">
        <x:v>46113</x:v>
      </x:c>
      <x:c r="F5" s="21" t="n">
        <x:v>46478</x:v>
      </x:c>
      <x:c r="G5" s="22" t="n">
        <x:v>46844</x:v>
      </x:c>
      <x:c r="H5" s="2"/>
      <x:c r="I5" s="2"/>
      <x:c r="J5" s="2"/>
      <x:c r="K5" s="2"/>
      <x:c r="L5" s="2"/>
      <x:c r="M5" s="2"/>
    </x:row>
    <x:row r="6" ht="24" customHeight="1">
      <x:c r="A6" s="2"/>
      <x:c r="B6" s="2"/>
      <x:c r="C6" s="2" t="str">
        <x:v>Broad pipeline</x:v>
      </x:c>
      <x:c r="D6" s="23" t="str">
        <x:f>IF('Inputs'!D6="","n.a.",'Inputs'!D6)</x:f>
        <x:v>n.a.</x:v>
      </x:c>
      <x:c r="E6" s="23" t="n">
        <x:f>IF('Inputs'!E6="","n.a.",'Inputs'!E6)</x:f>
        <x:v>3000</x:v>
      </x:c>
      <x:c r="F6" s="23" t="n">
        <x:f>IF('Inputs'!F6="","n.a.",'Inputs'!F6)</x:f>
        <x:v>6000</x:v>
      </x:c>
      <x:c r="G6" s="23" t="n">
        <x:f>IF('Inputs'!G6="","n.a.",'Inputs'!G6)</x:f>
        <x:v>12000</x:v>
      </x:c>
      <x:c r="H6" s="2"/>
      <x:c r="I6" s="2" t="str">
        <x:v>Broad pipeline is not included in revenue or funding.</x:v>
      </x:c>
      <x:c r="J6" s="2"/>
      <x:c r="K6" s="2"/>
      <x:c r="L6" s="2"/>
      <x:c r="M6" s="2"/>
    </x:row>
    <x:row r="7" ht="24" customHeight="1">
      <x:c r="A7" s="2"/>
      <x:c r="B7" s="2"/>
      <x:c r="C7" s="2" t="str">
        <x:v>Closed orders / order intake</x:v>
      </x:c>
      <x:c r="D7" s="23" t="n">
        <x:f>IF(ISNUMBER('Inputs'!D7),'Inputs'!D7,NA())</x:f>
        <x:v>200</x:v>
      </x:c>
      <x:c r="E7" s="23" t="n">
        <x:f>IF(ISNUMBER('Inputs'!E7),'Inputs'!E7,NA())</x:f>
        <x:v>300</x:v>
      </x:c>
      <x:c r="F7" s="23" t="n">
        <x:f>IF(ISNUMBER('Inputs'!F7),'Inputs'!F7,NA())</x:f>
        <x:v>600</x:v>
      </x:c>
      <x:c r="G7" s="23" t="n">
        <x:f>IF(ISNUMBER('Inputs'!G7),'Inputs'!G7,NA())</x:f>
        <x:v>1200</x:v>
      </x:c>
      <x:c r="H7" s="2"/>
      <x:c r="I7" s="2"/>
      <x:c r="J7" s="2"/>
      <x:c r="K7" s="2"/>
      <x:c r="L7" s="2"/>
      <x:c r="M7" s="2"/>
    </x:row>
    <x:row r="8" ht="24" customHeight="1">
      <x:c r="A8" s="2"/>
      <x:c r="B8" s="2"/>
      <x:c r="C8" s="2" t="str">
        <x:v>Revenue recognised</x:v>
      </x:c>
      <x:c r="D8" s="23" t="n">
        <x:f>IF(ISNUMBER('Inputs'!D8),'Inputs'!D8,NA())</x:f>
        <x:v>0</x:v>
      </x:c>
      <x:c r="E8" s="23" t="n">
        <x:f>IF(ISNUMBER('Inputs'!E8),'Inputs'!E8,NA())</x:f>
        <x:v>150</x:v>
      </x:c>
      <x:c r="F8" s="23" t="n">
        <x:f>IF(ISNUMBER('Inputs'!F8),'Inputs'!F8,NA())</x:f>
        <x:v>300</x:v>
      </x:c>
      <x:c r="G8" s="23" t="n">
        <x:f>IF(ISNUMBER('Inputs'!G8),'Inputs'!G8,NA())</x:f>
        <x:v>600</x:v>
      </x:c>
      <x:c r="H8" s="2"/>
      <x:c r="I8" s="2"/>
      <x:c r="J8" s="2"/>
      <x:c r="K8" s="2"/>
      <x:c r="L8" s="2"/>
      <x:c r="M8" s="2"/>
    </x:row>
    <x:row r="9" ht="24" customHeight="1">
      <x:c r="A9" s="2"/>
      <x:c r="B9" s="2"/>
      <x:c r="C9" s="2"/>
      <x:c r="D9" s="23"/>
      <x:c r="E9" s="23"/>
      <x:c r="F9" s="23"/>
      <x:c r="G9" s="23"/>
      <x:c r="H9" s="2"/>
      <x:c r="I9" s="2"/>
      <x:c r="J9" s="2"/>
      <x:c r="K9" s="2"/>
      <x:c r="L9" s="2"/>
      <x:c r="M9" s="2"/>
    </x:row>
    <x:row r="10" ht="40" customHeight="1">
      <x:c r="A10" s="2"/>
      <x:c r="B10" s="2"/>
      <x:c r="C10" s="2" t="str">
        <x:v>Operating expenses</x:v>
      </x:c>
      <x:c r="D10" s="23" t="n">
        <x:f>'Expense detail'!D23</x:f>
        <x:v>30</x:v>
      </x:c>
      <x:c r="E10" s="23" t="n">
        <x:f>'Expense detail'!E23</x:f>
        <x:v>45</x:v>
      </x:c>
      <x:c r="F10" s="23" t="n">
        <x:f>'Expense detail'!F23</x:f>
        <x:v>70</x:v>
      </x:c>
      <x:c r="G10" s="23" t="n">
        <x:f>'Expense detail'!G23</x:f>
        <x:v>90</x:v>
      </x:c>
      <x:c r="H10" s="2"/>
      <x:c r="I10" s="32" t="str">
        <x:v>Sum of the ten categories in Expense detail. Employee budgets use fully loaded costs.</x:v>
      </x:c>
      <x:c r="J10" s="2"/>
      <x:c r="K10" s="2"/>
      <x:c r="L10" s="2"/>
      <x:c r="M10" s="2"/>
    </x:row>
    <x:row r="11" ht="24" customHeight="1">
      <x:c r="A11" s="2"/>
      <x:c r="B11" s="2"/>
      <x:c r="C11" s="4" t="str">
        <x:v>Manufacturing cash spend / new orders</x:v>
      </x:c>
      <x:c r="D11" s="45" t="n">
        <x:f>IF(ISNUMBER('Inputs'!D10),'Inputs'!D10,NA())</x:f>
        <x:v>0</x:v>
      </x:c>
      <x:c r="E11" s="45" t="n">
        <x:f>IF(ISNUMBER('Inputs'!E10),'Inputs'!E10,NA())</x:f>
        <x:v>0.3</x:v>
      </x:c>
      <x:c r="F11" s="45" t="n">
        <x:f>IF(ISNUMBER('Inputs'!F10),'Inputs'!F10,NA())</x:f>
        <x:v>0.25</x:v>
      </x:c>
      <x:c r="G11" s="45" t="n">
        <x:f>IF(ISNUMBER('Inputs'!G10),'Inputs'!G10,NA())</x:f>
        <x:v>0.2</x:v>
      </x:c>
      <x:c r="H11" s="2"/>
      <x:c r="I11" s="2" t="str">
        <x:v>Manufacturing cash spend divided by annual new orders.</x:v>
      </x:c>
      <x:c r="J11" s="2"/>
      <x:c r="K11" s="2"/>
      <x:c r="L11" s="2"/>
      <x:c r="M11" s="2"/>
    </x:row>
    <x:row r="12" ht="24" customHeight="1">
      <x:c r="A12" s="2"/>
      <x:c r="B12" s="2"/>
      <x:c r="C12" s="2" t="str">
        <x:v>Manufacturing cash spend</x:v>
      </x:c>
      <x:c r="D12" s="23" t="n">
        <x:f>D7*D11</x:f>
        <x:v>0</x:v>
      </x:c>
      <x:c r="E12" s="23" t="n">
        <x:f>E7*E11</x:f>
        <x:v>90</x:v>
      </x:c>
      <x:c r="F12" s="23" t="n">
        <x:f>F7*F11</x:f>
        <x:v>150</x:v>
      </x:c>
      <x:c r="G12" s="23" t="n">
        <x:f>G7*G11</x:f>
        <x:v>240</x:v>
      </x:c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42" t="str">
        <x:v>Total annual spend</x:v>
      </x:c>
      <x:c r="D13" s="43" t="n">
        <x:f>SUM(D10,D12)</x:f>
        <x:v>30</x:v>
      </x:c>
      <x:c r="E13" s="43" t="n">
        <x:f>SUM(E10,E12)</x:f>
        <x:v>135</x:v>
      </x:c>
      <x:c r="F13" s="43" t="n">
        <x:f>SUM(F10,F12)</x:f>
        <x:v>220</x:v>
      </x:c>
      <x:c r="G13" s="43" t="n">
        <x:f>SUM(G10,G12)</x:f>
        <x:v>330</x:v>
      </x:c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3"/>
      <x:c r="E14" s="23"/>
      <x:c r="F14" s="23"/>
      <x:c r="G14" s="23"/>
      <x:c r="H14" s="2"/>
      <x:c r="I14" s="2"/>
      <x:c r="J14" s="2"/>
      <x:c r="K14" s="2"/>
      <x:c r="L14" s="2"/>
      <x:c r="M14" s="2"/>
    </x:row>
    <x:row r="15" ht="40" customHeight="1">
      <x:c r="A15" s="2"/>
      <x:c r="B15" s="2"/>
      <x:c r="C15" s="42" t="str">
        <x:v>Simplified surplus / (funding gap)</x:v>
      </x:c>
      <x:c r="D15" s="43" t="n">
        <x:f>D8-D13</x:f>
        <x:v>-30</x:v>
      </x:c>
      <x:c r="E15" s="43" t="n">
        <x:f>E8-E13</x:f>
        <x:v>15</x:v>
      </x:c>
      <x:c r="F15" s="43" t="n">
        <x:f>F8-F13</x:f>
        <x:v>80</x:v>
      </x:c>
      <x:c r="G15" s="43" t="n">
        <x:f>G8-G13</x:f>
        <x:v>270</x:v>
      </x:c>
      <x:c r="H15" s="2"/>
      <x:c r="I15" s="32" t="str">
        <x:v>Revenue less cash spend. Neither accounting profit nor a timed cash forecast.</x:v>
      </x:c>
      <x:c r="J15" s="2"/>
      <x:c r="K15" s="2"/>
      <x:c r="L15" s="2"/>
      <x:c r="M15" s="2"/>
    </x:row>
    <x:row r="16" ht="24" customHeight="1">
      <x:c r="A16" s="2"/>
      <x:c r="B16" s="2"/>
      <x:c r="C16" s="2"/>
      <x:c r="D16" s="23"/>
      <x:c r="E16" s="23"/>
      <x:c r="F16" s="23"/>
      <x:c r="G16" s="23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 t="str">
        <x:v>Opening retained balance (proxy)</x:v>
      </x:c>
      <x:c r="D17" s="23" t="n">
        <x:f>'Inputs'!D14</x:f>
        <x:v>0</x:v>
      </x:c>
      <x:c r="E17" s="23" t="n">
        <x:f>D20</x:f>
        <x:v>0</x:v>
      </x:c>
      <x:c r="F17" s="23" t="n">
        <x:f>E20</x:f>
        <x:v>15</x:v>
      </x:c>
      <x:c r="G17" s="23" t="n">
        <x:f>F20</x:f>
        <x:v>95</x:v>
      </x:c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 t="str">
        <x:v>HQ funding required during year</x:v>
      </x:c>
      <x:c r="D18" s="23" t="n">
        <x:f>MAX(0,-(D17+D15))</x:f>
        <x:v>30</x:v>
      </x:c>
      <x:c r="E18" s="23" t="n">
        <x:f>MAX(0,-(E17+E15))</x:f>
        <x:v>0</x:v>
      </x:c>
      <x:c r="F18" s="23" t="n">
        <x:f>MAX(0,-(F17+F15))</x:f>
        <x:v>0</x:v>
      </x:c>
      <x:c r="G18" s="23" t="n">
        <x:f>MAX(0,-(G17+G15))</x:f>
        <x:v>0</x:v>
      </x:c>
      <x:c r="H18" s="2"/>
      <x:c r="I18" s="2"/>
      <x:c r="J18" s="2"/>
      <x:c r="K18" s="2"/>
      <x:c r="L18" s="2"/>
      <x:c r="M18" s="2"/>
    </x:row>
    <x:row r="19" ht="40" customHeight="1">
      <x:c r="A19" s="2"/>
      <x:c r="B19" s="2"/>
      <x:c r="C19" s="42" t="str">
        <x:v>Cumulative HQ funding</x:v>
      </x:c>
      <x:c r="D19" s="43" t="n">
        <x:f>D18</x:f>
        <x:v>30</x:v>
      </x:c>
      <x:c r="E19" s="43" t="n">
        <x:f>D19+E18</x:f>
        <x:v>30</x:v>
      </x:c>
      <x:c r="F19" s="43" t="n">
        <x:f>E19+F18</x:f>
        <x:v>30</x:v>
      </x:c>
      <x:c r="G19" s="43" t="n">
        <x:f>F19+G18</x:f>
        <x:v>30</x:v>
      </x:c>
      <x:c r="H19" s="2"/>
      <x:c r="I19" s="32" t="str">
        <x:v>Simplified annual funding requirement. No separate reserve or collection lag.</x:v>
      </x:c>
      <x:c r="J19" s="2"/>
      <x:c r="K19" s="2"/>
      <x:c r="L19" s="2"/>
      <x:c r="M19" s="2"/>
    </x:row>
    <x:row r="20" ht="24" customHeight="1">
      <x:c r="A20" s="2"/>
      <x:c r="B20" s="2"/>
      <x:c r="C20" s="42" t="str">
        <x:v>Closing retained balance (proxy)</x:v>
      </x:c>
      <x:c r="D20" s="43" t="n">
        <x:f>SUM(D17:D18,D15)</x:f>
        <x:v>0</x:v>
      </x:c>
      <x:c r="E20" s="43" t="n">
        <x:f>SUM(E17:E18,E15)</x:f>
        <x:v>15</x:v>
      </x:c>
      <x:c r="F20" s="43" t="n">
        <x:f>SUM(F17:F18,F15)</x:f>
        <x:v>95</x:v>
      </x:c>
      <x:c r="G20" s="43" t="n">
        <x:f>SUM(G17:G18,G15)</x:f>
        <x:v>365</x:v>
      </x:c>
      <x:c r="H20" s="2"/>
      <x:c r="I20" s="2" t="str">
        <x:v>Opening balance + annual surplus + HQ contribution.</x:v>
      </x:c>
      <x:c r="J20" s="2"/>
      <x:c r="K20" s="2"/>
      <x:c r="L20" s="2"/>
      <x:c r="M20" s="2"/>
    </x:row>
    <x:row r="21" ht="24" customHeight="1">
      <x:c r="A21" s="2"/>
      <x:c r="B21" s="2"/>
      <x:c r="C21" s="2"/>
      <x:c r="D21" s="23"/>
      <x:c r="E21" s="23"/>
      <x:c r="F21" s="23"/>
      <x:c r="G21" s="23"/>
      <x:c r="H21" s="2"/>
      <x:c r="I21" s="2"/>
      <x:c r="J21" s="2"/>
      <x:c r="K21" s="2"/>
      <x:c r="L21" s="2"/>
      <x:c r="M21" s="2"/>
    </x:row>
    <x:row r="22" ht="27" customHeight="1">
      <x:c r="A22" s="2"/>
      <x:c r="B22" s="2"/>
      <x:c r="C22" s="14" t="str">
        <x:v>Order backlog</x:v>
      </x:c>
      <x:c r="D22" s="47"/>
      <x:c r="E22" s="47"/>
      <x:c r="F22" s="47"/>
      <x:c r="G22" s="47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 t="str">
        <x:v>Opening order backlog</x:v>
      </x:c>
      <x:c r="D23" s="23" t="n">
        <x:f>'Inputs'!D15</x:f>
        <x:v>0</x:v>
      </x:c>
      <x:c r="E23" s="23" t="n">
        <x:f>D26</x:f>
        <x:v>200</x:v>
      </x:c>
      <x:c r="F23" s="23" t="n">
        <x:f>E26</x:f>
        <x:v>350</x:v>
      </x:c>
      <x:c r="G23" s="23" t="n">
        <x:f>F26</x:f>
        <x:v>650</x:v>
      </x:c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 t="str">
        <x:v>New orders</x:v>
      </x:c>
      <x:c r="D24" s="23" t="n">
        <x:f>D7</x:f>
        <x:v>200</x:v>
      </x:c>
      <x:c r="E24" s="23" t="n">
        <x:f>E7</x:f>
        <x:v>300</x:v>
      </x:c>
      <x:c r="F24" s="23" t="n">
        <x:f>F7</x:f>
        <x:v>600</x:v>
      </x:c>
      <x:c r="G24" s="23" t="n">
        <x:f>G7</x:f>
        <x:v>1200</x:v>
      </x:c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 t="str">
        <x:v>Revenue recognised from backlog</x:v>
      </x:c>
      <x:c r="D25" s="23" t="n">
        <x:f>D8</x:f>
        <x:v>0</x:v>
      </x:c>
      <x:c r="E25" s="23" t="n">
        <x:f>E8</x:f>
        <x:v>150</x:v>
      </x:c>
      <x:c r="F25" s="23" t="n">
        <x:f>F8</x:f>
        <x:v>300</x:v>
      </x:c>
      <x:c r="G25" s="23" t="n">
        <x:f>G8</x:f>
        <x:v>600</x:v>
      </x:c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42" t="str">
        <x:v>Closing order backlog</x:v>
      </x:c>
      <x:c r="D26" s="43" t="n">
        <x:f>SUM(D23:D24)-D25</x:f>
        <x:v>200</x:v>
      </x:c>
      <x:c r="E26" s="43" t="n">
        <x:f>SUM(E23:E24)-E25</x:f>
        <x:v>350</x:v>
      </x:c>
      <x:c r="F26" s="43" t="n">
        <x:f>SUM(F23:F24)-F25</x:f>
        <x:v>650</x:v>
      </x:c>
      <x:c r="G26" s="43" t="n">
        <x:f>SUM(G23:G24)-G25</x:f>
        <x:v>1250</x:v>
      </x:c>
      <x:c r="H26" s="2"/>
      <x:c r="I26" s="2" t="str">
        <x:v>Opening backlog + new orders − recognised revenue.</x:v>
      </x:c>
      <x:c r="J26" s="2"/>
      <x:c r="K26" s="2"/>
      <x:c r="L26" s="2"/>
      <x:c r="M26" s="2"/>
    </x:row>
    <x:row r="27" ht="24" customHeight="1">
      <x:c r="A27" s="2"/>
      <x:c r="B27" s="2"/>
      <x:c r="C27" s="2"/>
      <x:c r="D27" s="23"/>
      <x:c r="E27" s="23"/>
      <x:c r="F27" s="23"/>
      <x:c r="G27" s="23"/>
      <x:c r="H27" s="2"/>
      <x:c r="I27" s="2"/>
      <x:c r="J27" s="2"/>
      <x:c r="K27" s="2"/>
      <x:c r="L27" s="2"/>
      <x:c r="M27" s="2"/>
    </x:row>
    <x:row r="28" ht="27" customHeight="1">
      <x:c r="A28" s="2"/>
      <x:c r="B28" s="2"/>
      <x:c r="C28" s="14" t="str">
        <x:v>Effect of the operating expense revision</x:v>
      </x:c>
      <x:c r="D28" s="47"/>
      <x:c r="E28" s="47"/>
      <x:c r="F28" s="47"/>
      <x:c r="G28" s="47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 t="str">
        <x:v>Prior operating expense assumption</x:v>
      </x:c>
      <x:c r="D29" s="23" t="n">
        <x:f>'Inputs'!D29</x:f>
        <x:v>30</x:v>
      </x:c>
      <x:c r="E29" s="23" t="n">
        <x:f>'Inputs'!E29</x:f>
        <x:v>55</x:v>
      </x:c>
      <x:c r="F29" s="23" t="n">
        <x:f>'Inputs'!F29</x:f>
        <x:v>85</x:v>
      </x:c>
      <x:c r="G29" s="23" t="n">
        <x:f>'Inputs'!G29</x:f>
        <x:v>110</x:v>
      </x:c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 t="str">
        <x:v>Reduction in annual spend</x:v>
      </x:c>
      <x:c r="D30" s="23" t="n">
        <x:f>D29-D10</x:f>
        <x:v>0</x:v>
      </x:c>
      <x:c r="E30" s="23" t="n">
        <x:f>E29-E10</x:f>
        <x:v>10</x:v>
      </x:c>
      <x:c r="F30" s="23" t="n">
        <x:f>F29-F10</x:f>
        <x:v>15</x:v>
      </x:c>
      <x:c r="G30" s="23" t="n">
        <x:f>G29-G10</x:f>
        <x:v>20</x:v>
      </x:c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 t="str">
        <x:v>Prior simplified surplus / (gap)</x:v>
      </x:c>
      <x:c r="D31" s="23" t="n">
        <x:f>D15-D30</x:f>
        <x:v>-30</x:v>
      </x:c>
      <x:c r="E31" s="23" t="n">
        <x:f>E15-E30</x:f>
        <x:v>5</x:v>
      </x:c>
      <x:c r="F31" s="23" t="n">
        <x:f>F15-F30</x:f>
        <x:v>65</x:v>
      </x:c>
      <x:c r="G31" s="23" t="n">
        <x:f>G15-G30</x:f>
        <x:v>250</x:v>
      </x:c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 t="str">
        <x:v>Prior cumulative HQ funding</x:v>
      </x:c>
      <x:c r="D32" s="23" t="n">
        <x:f>'Inputs'!D30</x:f>
        <x:v>30</x:v>
      </x:c>
      <x:c r="E32" s="23" t="n">
        <x:f>'Inputs'!E30</x:f>
        <x:v>30</x:v>
      </x:c>
      <x:c r="F32" s="23" t="n">
        <x:f>'Inputs'!F30</x:f>
        <x:v>30</x:v>
      </x:c>
      <x:c r="G32" s="23" t="n">
        <x:f>'Inputs'!G30</x:f>
        <x:v>30</x:v>
      </x:c>
      <x:c r="H32" s="2"/>
      <x:c r="I32" s="2"/>
      <x:c r="J32" s="2"/>
      <x:c r="K32" s="2"/>
      <x:c r="L32" s="2"/>
      <x:c r="M32" s="2"/>
    </x:row>
    <x:row r="33" ht="40" customHeight="1">
      <x:c r="A33" s="2"/>
      <x:c r="B33" s="2"/>
      <x:c r="C33" s="42" t="str">
        <x:v>Reduction in cumulative HQ funding</x:v>
      </x:c>
      <x:c r="D33" s="43" t="n">
        <x:f>D32-D19</x:f>
        <x:v>0</x:v>
      </x:c>
      <x:c r="E33" s="43" t="n">
        <x:f>E32-E19</x:f>
        <x:v>0</x:v>
      </x:c>
      <x:c r="F33" s="43" t="n">
        <x:f>F32-F19</x:f>
        <x:v>0</x:v>
      </x:c>
      <x:c r="G33" s="43" t="n">
        <x:f>G32-G19</x:f>
        <x:v>0</x:v>
      </x:c>
      <x:c r="H33" s="2"/>
      <x:c r="I33" s="32" t="str">
        <x:v>Compared with the prior ₹30 / ₹55 / ₹85 / ₹110 crore operating expense plan.</x:v>
      </x:c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 t="str">
        <x:v>Financial year</x:v>
      </x:c>
      <x:c r="L36" s="2" t="str">
        <x:v>Revenue proxy</x:v>
      </x:c>
      <x:c r="M36" s="2" t="str">
        <x:v>Annual spend</x:v>
      </x:c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 t="str">
        <x:v>FY25–26</x:v>
      </x:c>
      <x:c r="L37" s="23" t="n">
        <x:f>D8</x:f>
        <x:v>0</x:v>
      </x:c>
      <x:c r="M37" s="23" t="n">
        <x:f>D13</x:f>
        <x:v>30</x:v>
      </x:c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 t="str">
        <x:v>FY26–27</x:v>
      </x:c>
      <x:c r="L38" s="23" t="n">
        <x:f>E8</x:f>
        <x:v>150</x:v>
      </x:c>
      <x:c r="M38" s="23" t="n">
        <x:f>E13</x:f>
        <x:v>135</x:v>
      </x:c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 t="str">
        <x:v>FY27–28</x:v>
      </x:c>
      <x:c r="L39" s="23" t="n">
        <x:f>F8</x:f>
        <x:v>300</x:v>
      </x:c>
      <x:c r="M39" s="23" t="n">
        <x:f>F13</x:f>
        <x:v>220</x:v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 t="str">
        <x:v>FY28–29</x:v>
      </x:c>
      <x:c r="L40" s="23" t="n">
        <x:f>G8</x:f>
        <x:v>600</x:v>
      </x:c>
      <x:c r="M40" s="23" t="n">
        <x:f>G13</x:f>
        <x:v>330</x:v>
      </x:c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4" customHeight="1">
      <x:c r="A52" s="2"/>
      <x:c r="B52" s="2"/>
      <x:c r="C52" s="2" t="str">
        <x:v>Customer collection timing must be added before treating this as an initial cash contribution or runway forecast.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</x:sheetData>
  <x:conditionalFormatting sqref="D15:G15">
    <x:cfRule type="cellIs" dxfId="1" priority="1" operator="lessThan">
      <x:formula>0</x:formula>
    </x:cfRule>
  </x:conditionalFormatting>
  <x:conditionalFormatting sqref="D26:G26">
    <x:cfRule type="cellIs" dxfId="2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307ae7a075b4270"/>
</x:worksheet>
</file>

<file path=xl/worksheets/sheet2.xml><?xml version="1.0" encoding="utf-8"?>
<x:worksheet xmlns:x="http://schemas.openxmlformats.org/spreadsheetml/2006/main">
  <x:sheetPr>
    <x:tabColor rgb="FF4974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2"/>
      <x:c r="B2" s="2"/>
      <x:c r="C2" s="3" t="str">
        <x:v>Workforce and operating expenses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2"/>
      <x:c r="C3" s="4" t="str">
        <x:v>INR crore except headcount and annual cost per employee, shown in lakh.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8" customHeight="1">
      <x:c r="A5" s="2"/>
      <x:c r="B5" s="2"/>
      <x:c r="C5" s="14" t="str">
        <x:v>₹ crore</x:v>
      </x:c>
      <x:c r="D5" s="19" t="n">
        <x:v>45748</x:v>
      </x:c>
      <x:c r="E5" s="20" t="n">
        <x:v>46113</x:v>
      </x:c>
      <x:c r="F5" s="21" t="n">
        <x:v>46478</x:v>
      </x:c>
      <x:c r="G5" s="22" t="n">
        <x:v>46844</x:v>
      </x:c>
      <x:c r="H5" s="2"/>
      <x:c r="I5" s="2"/>
      <x:c r="J5" s="2"/>
      <x:c r="K5" s="2"/>
      <x:c r="L5" s="2"/>
      <x:c r="M5" s="2"/>
    </x:row>
    <x:row r="6" ht="24" customHeight="1">
      <x:c r="A6" s="2"/>
      <x:c r="B6" s="2"/>
      <x:c r="C6" s="2" t="str">
        <x:v>Exit headcount</x:v>
      </x:c>
      <x:c r="D6" s="36" t="n">
        <x:f>'Inputs'!D36</x:f>
        <x:v>15</x:v>
      </x:c>
      <x:c r="E6" s="36" t="n">
        <x:f>'Inputs'!E36</x:f>
        <x:v>40</x:v>
      </x:c>
      <x:c r="F6" s="36" t="n">
        <x:f>'Inputs'!F36</x:f>
        <x:v>75</x:v>
      </x:c>
      <x:c r="G6" s="36" t="n">
        <x:f>'Inputs'!G36</x:f>
        <x:v>100</x:v>
      </x:c>
      <x:c r="H6" s="2"/>
      <x:c r="I6" s="2" t="str">
        <x:v>Year-end team size. Not used as the payroll denominator.</x:v>
      </x:c>
      <x:c r="J6" s="2"/>
      <x:c r="K6" s="2"/>
      <x:c r="L6" s="2"/>
      <x:c r="M6" s="2"/>
    </x:row>
    <x:row r="7" ht="24" customHeight="1">
      <x:c r="A7" s="2"/>
      <x:c r="B7" s="2"/>
      <x:c r="C7" s="2" t="str">
        <x:v>Approximate average headcount</x:v>
      </x:c>
      <x:c r="D7" s="36" t="n">
        <x:f>'Inputs'!D37</x:f>
        <x:v>15</x:v>
      </x:c>
      <x:c r="E7" s="36" t="n">
        <x:f>'Inputs'!E37</x:f>
        <x:v>29</x:v>
      </x:c>
      <x:c r="F7" s="36" t="n">
        <x:f>'Inputs'!F37</x:f>
        <x:v>58</x:v>
      </x:c>
      <x:c r="G7" s="36" t="n">
        <x:f>'Inputs'!G37</x:f>
        <x:v>86</x:v>
      </x:c>
      <x:c r="H7" s="2"/>
      <x:c r="I7" s="2" t="str">
        <x:v>Average headcount is approximate, as supplied.</x:v>
      </x:c>
      <x:c r="J7" s="2"/>
      <x:c r="K7" s="2"/>
      <x:c r="L7" s="2"/>
      <x:c r="M7" s="2"/>
    </x:row>
    <x:row r="8" ht="24" customHeight="1">
      <x:c r="A8" s="2"/>
      <x:c r="B8" s="2"/>
      <x:c r="C8" s="2" t="str">
        <x:v>Implied annual employee cost (₹ lakh)</x:v>
      </x:c>
      <x:c r="D8" s="23" t="n">
        <x:f>IF(D7&gt;0,D12*100/D7,NA())</x:f>
        <x:v>66.66666666666667</x:v>
      </x:c>
      <x:c r="E8" s="23" t="n">
        <x:f>IF(E7&gt;0,E12*100/E7,NA())</x:f>
        <x:v>68.96551724137932</x:v>
      </x:c>
      <x:c r="F8" s="23" t="n">
        <x:f>IF(F7&gt;0,F12*100/F7,NA())</x:f>
        <x:v>70.6896551724138</x:v>
      </x:c>
      <x:c r="G8" s="23" t="n">
        <x:f>IF(G7&gt;0,G12*100/G7,NA())</x:f>
        <x:v>69.76744186046511</x:v>
      </x:c>
      <x:c r="H8" s="2"/>
      <x:c r="I8" s="2" t="str">
        <x:v>Employee budget ÷ average headcount × 100. FY27–28 implies ₹70.7 lakh.</x:v>
      </x:c>
      <x:c r="J8" s="2"/>
      <x:c r="K8" s="2"/>
      <x:c r="L8" s="2"/>
      <x:c r="M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7" customHeight="1">
      <x:c r="A10" s="2"/>
      <x:c r="B10" s="2"/>
      <x:c r="C10" s="14" t="str">
        <x:v>Operating expense build</x:v>
      </x:c>
      <x:c r="D10" s="14"/>
      <x:c r="E10" s="14"/>
      <x:c r="F10" s="14"/>
      <x:c r="G10" s="14"/>
      <x:c r="H10" s="2"/>
      <x:c r="I10" s="2"/>
      <x:c r="J10" s="2"/>
      <x:c r="K10" s="2"/>
      <x:c r="L10" s="2"/>
      <x:c r="M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 t="str">
        <x:v>Employee cost</x:v>
      </x:c>
      <x:c r="D12" s="37" t="n">
        <x:f>IF(ISNUMBER('Inputs'!D39),'Inputs'!D39,NA())</x:f>
        <x:v>10</x:v>
      </x:c>
      <x:c r="E12" s="37" t="n">
        <x:f>IF(ISNUMBER('Inputs'!E39),'Inputs'!E39,NA())</x:f>
        <x:v>20</x:v>
      </x:c>
      <x:c r="F12" s="37" t="n">
        <x:f>IF(ISNUMBER('Inputs'!F39),'Inputs'!F39,NA())</x:f>
        <x:v>41</x:v>
      </x:c>
      <x:c r="G12" s="37" t="n">
        <x:f>IF(ISNUMBER('Inputs'!G39),'Inputs'!G39,NA())</x:f>
        <x:v>60</x:v>
      </x:c>
      <x:c r="H12" s="2"/>
      <x:c r="I12" s="2" t="str">
        <x:v>Fully loaded budget. Approximately ₹65–70 lakh per average employee.</x:v>
      </x:c>
      <x:c r="J12" s="2"/>
      <x:c r="K12" s="2"/>
      <x:c r="L12" s="2"/>
      <x:c r="M12" s="2"/>
    </x:row>
    <x:row r="13" ht="24" customHeight="1">
      <x:c r="A13" s="2"/>
      <x:c r="B13" s="2"/>
      <x:c r="C13" s="2" t="str">
        <x:v>Office / rent / facilities</x:v>
      </x:c>
      <x:c r="D13" s="37" t="n">
        <x:f>IF(ISNUMBER('Inputs'!D40),'Inputs'!D40,NA())</x:f>
        <x:v>1.5</x:v>
      </x:c>
      <x:c r="E13" s="37" t="n">
        <x:f>IF(ISNUMBER('Inputs'!E40),'Inputs'!E40,NA())</x:f>
        <x:v>2</x:v>
      </x:c>
      <x:c r="F13" s="37" t="n">
        <x:f>IF(ISNUMBER('Inputs'!F40),'Inputs'!F40,NA())</x:f>
        <x:v>3</x:v>
      </x:c>
      <x:c r="G13" s="37" t="n">
        <x:f>IF(ISNUMBER('Inputs'!G40),'Inputs'!G40,NA())</x:f>
        <x:v>4</x:v>
      </x:c>
      <x:c r="H13" s="2"/>
      <x:c r="I13" s="2" t="str">
        <x:v>Delhi and Bengaluru. Secure office and engineering facilities.</x:v>
      </x:c>
      <x:c r="J13" s="2"/>
      <x:c r="K13" s="2"/>
      <x:c r="L13" s="2"/>
      <x:c r="M13" s="2"/>
    </x:row>
    <x:row r="14" ht="24" customHeight="1">
      <x:c r="A14" s="2"/>
      <x:c r="B14" s="2"/>
      <x:c r="C14" s="2" t="str">
        <x:v>Travel and customer engagement</x:v>
      </x:c>
      <x:c r="D14" s="37" t="n">
        <x:f>IF(ISNUMBER('Inputs'!D41),'Inputs'!D41,NA())</x:f>
        <x:v>4</x:v>
      </x:c>
      <x:c r="E14" s="37" t="n">
        <x:f>IF(ISNUMBER('Inputs'!E41),'Inputs'!E41,NA())</x:f>
        <x:v>5</x:v>
      </x:c>
      <x:c r="F14" s="37" t="n">
        <x:f>IF(ISNUMBER('Inputs'!F41),'Inputs'!F41,NA())</x:f>
        <x:v>6</x:v>
      </x:c>
      <x:c r="G14" s="37" t="n">
        <x:f>IF(ISNUMBER('Inputs'!G41),'Inputs'!G41,NA())</x:f>
        <x:v>6</x:v>
      </x:c>
      <x:c r="H14" s="2"/>
      <x:c r="I14" s="2" t="str">
        <x:v>Customer visits, trials, MoD/services and US–India travel.</x:v>
      </x:c>
      <x:c r="J14" s="2"/>
      <x:c r="K14" s="2"/>
      <x:c r="L14" s="2"/>
      <x:c r="M14" s="2"/>
    </x:row>
    <x:row r="15" ht="38" customHeight="1">
      <x:c r="A15" s="2"/>
      <x:c r="B15" s="2"/>
      <x:c r="C15" s="32" t="str">
        <x:v>Training / global engineering support</x:v>
      </x:c>
      <x:c r="D15" s="37" t="n">
        <x:f>IF(ISNUMBER('Inputs'!D42),'Inputs'!D42,NA())</x:f>
        <x:v>3</x:v>
      </x:c>
      <x:c r="E15" s="37" t="n">
        <x:f>IF(ISNUMBER('Inputs'!E42),'Inputs'!E42,NA())</x:f>
        <x:v>3</x:v>
      </x:c>
      <x:c r="F15" s="37" t="n">
        <x:f>IF(ISNUMBER('Inputs'!F42),'Inputs'!F42,NA())</x:f>
        <x:v>3</x:v>
      </x:c>
      <x:c r="G15" s="37" t="n">
        <x:f>IF(ISNUMBER('Inputs'!G42),'Inputs'!G42,NA())</x:f>
        <x:v>3</x:v>
      </x:c>
      <x:c r="H15" s="2"/>
      <x:c r="I15" s="2" t="str">
        <x:v>Hivemind/V-BAT training, US specialists and knowledge transfer.</x:v>
      </x:c>
      <x:c r="J15" s="2"/>
      <x:c r="K15" s="2"/>
      <x:c r="L15" s="2"/>
      <x:c r="M15" s="2"/>
    </x:row>
    <x:row r="16" ht="38" customHeight="1">
      <x:c r="A16" s="2"/>
      <x:c r="B16" s="2"/>
      <x:c r="C16" s="32" t="str">
        <x:v>Government affairs / legal / compliance</x:v>
      </x:c>
      <x:c r="D16" s="37" t="n">
        <x:f>IF(ISNUMBER('Inputs'!D43),'Inputs'!D43,NA())</x:f>
        <x:v>3</x:v>
      </x:c>
      <x:c r="E16" s="37" t="n">
        <x:f>IF(ISNUMBER('Inputs'!E43),'Inputs'!E43,NA())</x:f>
        <x:v>3</x:v>
      </x:c>
      <x:c r="F16" s="37" t="n">
        <x:f>IF(ISNUMBER('Inputs'!F43),'Inputs'!F43,NA())</x:f>
        <x:v>4</x:v>
      </x:c>
      <x:c r="G16" s="37" t="n">
        <x:f>IF(ISNUMBER('Inputs'!G43),'Inputs'!G43,NA())</x:f>
        <x:v>4</x:v>
      </x:c>
      <x:c r="H16" s="2"/>
      <x:c r="I16" s="2" t="str">
        <x:v>Procurement, policy engagement, legal, regulatory and consultants.</x:v>
      </x:c>
      <x:c r="J16" s="2"/>
      <x:c r="K16" s="2"/>
      <x:c r="L16" s="2"/>
      <x:c r="M16" s="2"/>
    </x:row>
    <x:row r="17" ht="24" customHeight="1">
      <x:c r="A17" s="2"/>
      <x:c r="B17" s="2"/>
      <x:c r="C17" s="2" t="str">
        <x:v>IT / cloud / security / software</x:v>
      </x:c>
      <x:c r="D17" s="37" t="n">
        <x:f>IF(ISNUMBER('Inputs'!D44),'Inputs'!D44,NA())</x:f>
        <x:v>1.5</x:v>
      </x:c>
      <x:c r="E17" s="37" t="n">
        <x:f>IF(ISNUMBER('Inputs'!E44),'Inputs'!E44,NA())</x:f>
        <x:v>2</x:v>
      </x:c>
      <x:c r="F17" s="37" t="n">
        <x:f>IF(ISNUMBER('Inputs'!F44),'Inputs'!F44,NA())</x:f>
        <x:v>3</x:v>
      </x:c>
      <x:c r="G17" s="37" t="n">
        <x:f>IF(ISNUMBER('Inputs'!G44),'Inputs'!G44,NA())</x:f>
        <x:v>3</x:v>
      </x:c>
      <x:c r="H17" s="2"/>
      <x:c r="I17" s="2" t="str">
        <x:v>Engineering tools, security, cloud, devices and software.</x:v>
      </x:c>
      <x:c r="J17" s="2"/>
      <x:c r="K17" s="2"/>
      <x:c r="L17" s="2"/>
      <x:c r="M17" s="2"/>
    </x:row>
    <x:row r="18" ht="24" customHeight="1">
      <x:c r="A18" s="2"/>
      <x:c r="B18" s="2"/>
      <x:c r="C18" s="2" t="str">
        <x:v>Recruitment / relocation</x:v>
      </x:c>
      <x:c r="D18" s="37" t="n">
        <x:f>IF(ISNUMBER('Inputs'!D45),'Inputs'!D45,NA())</x:f>
        <x:v>1</x:v>
      </x:c>
      <x:c r="E18" s="37" t="n">
        <x:f>IF(ISNUMBER('Inputs'!E45),'Inputs'!E45,NA())</x:f>
        <x:v>2</x:v>
      </x:c>
      <x:c r="F18" s="37" t="n">
        <x:f>IF(ISNUMBER('Inputs'!F45),'Inputs'!F45,NA())</x:f>
        <x:v>3</x:v>
      </x:c>
      <x:c r="G18" s="37" t="n">
        <x:f>IF(ISNUMBER('Inputs'!G45),'Inputs'!G45,NA())</x:f>
        <x:v>2</x:v>
      </x:c>
      <x:c r="H18" s="2"/>
      <x:c r="I18" s="2" t="str">
        <x:v>Particularly heavy during the 15 to 40 to 75 headcount ramp.</x:v>
      </x:c>
      <x:c r="J18" s="2"/>
      <x:c r="K18" s="2"/>
      <x:c r="L18" s="2"/>
      <x:c r="M18" s="2"/>
    </x:row>
    <x:row r="19" ht="24" customHeight="1">
      <x:c r="A19" s="2"/>
      <x:c r="B19" s="2"/>
      <x:c r="C19" s="2" t="str">
        <x:v>Demonstrations / field support</x:v>
      </x:c>
      <x:c r="D19" s="37" t="n">
        <x:f>IF(ISNUMBER('Inputs'!D46),'Inputs'!D46,NA())</x:f>
        <x:v>2</x:v>
      </x:c>
      <x:c r="E19" s="37" t="n">
        <x:f>IF(ISNUMBER('Inputs'!E46),'Inputs'!E46,NA())</x:f>
        <x:v>3</x:v>
      </x:c>
      <x:c r="F19" s="37" t="n">
        <x:f>IF(ISNUMBER('Inputs'!F46),'Inputs'!F46,NA())</x:f>
        <x:v>4</x:v>
      </x:c>
      <x:c r="G19" s="37" t="n">
        <x:f>IF(ISNUMBER('Inputs'!G46),'Inputs'!G46,NA())</x:f>
        <x:v>4</x:v>
      </x:c>
      <x:c r="H19" s="2"/>
      <x:c r="I19" s="2" t="str">
        <x:v>Trials, demos, deployments and customer evaluation support.</x:v>
      </x:c>
      <x:c r="J19" s="2"/>
      <x:c r="K19" s="2"/>
      <x:c r="L19" s="2"/>
      <x:c r="M19" s="2"/>
    </x:row>
    <x:row r="20" ht="38" customHeight="1">
      <x:c r="A20" s="2"/>
      <x:c r="B20" s="2"/>
      <x:c r="C20" s="32" t="str">
        <x:v>G&amp;A / insurance / finance / miscellaneous</x:v>
      </x:c>
      <x:c r="D20" s="37" t="n">
        <x:f>IF(ISNUMBER('Inputs'!D47),'Inputs'!D47,NA())</x:f>
        <x:v>2</x:v>
      </x:c>
      <x:c r="E20" s="37" t="n">
        <x:f>IF(ISNUMBER('Inputs'!E47),'Inputs'!E47,NA())</x:f>
        <x:v>2</x:v>
      </x:c>
      <x:c r="F20" s="37" t="n">
        <x:f>IF(ISNUMBER('Inputs'!F47),'Inputs'!F47,NA())</x:f>
        <x:v>3</x:v>
      </x:c>
      <x:c r="G20" s="37" t="n">
        <x:f>IF(ISNUMBER('Inputs'!G47),'Inputs'!G47,NA())</x:f>
        <x:v>4</x:v>
      </x:c>
      <x:c r="H20" s="2"/>
      <x:c r="I20" s="2" t="str">
        <x:v>HR, finance, insurance, communications and administration.</x:v>
      </x:c>
      <x:c r="J20" s="2"/>
      <x:c r="K20" s="2"/>
      <x:c r="L20" s="2"/>
      <x:c r="M20" s="2"/>
    </x:row>
    <x:row r="21" ht="24" customHeight="1">
      <x:c r="A21" s="2"/>
      <x:c r="B21" s="2"/>
      <x:c r="C21" s="2" t="str">
        <x:v>Initial setup / contingency</x:v>
      </x:c>
      <x:c r="D21" s="37" t="n">
        <x:f>IF(ISNUMBER('Inputs'!D48),'Inputs'!D48,NA())</x:f>
        <x:v>2</x:v>
      </x:c>
      <x:c r="E21" s="37" t="n">
        <x:f>IF(ISNUMBER('Inputs'!E48),'Inputs'!E48,NA())</x:f>
        <x:v>3</x:v>
      </x:c>
      <x:c r="F21" s="37" t="n">
        <x:f>IF(ISNUMBER('Inputs'!F48),'Inputs'!F48,NA())</x:f>
        <x:v>0</x:v>
      </x:c>
      <x:c r="G21" s="37" t="n">
        <x:f>IF(ISNUMBER('Inputs'!G48),'Inputs'!G48,NA())</x:f>
        <x:v>0</x:v>
      </x:c>
      <x:c r="H21" s="2"/>
      <x:c r="I21" s="2" t="str">
        <x:v>Heavier in the first two years. Dashes in the user table are treated as zero.</x:v>
      </x:c>
      <x:c r="J21" s="2"/>
      <x:c r="K21" s="2"/>
      <x:c r="L21" s="2"/>
      <x:c r="M21" s="2"/>
    </x:row>
    <x:row r="22" ht="24" customHeight="1">
      <x:c r="A22" s="2"/>
      <x:c r="B22" s="2"/>
      <x:c r="C22" s="2"/>
      <x:c r="D22" s="23"/>
      <x:c r="E22" s="23"/>
      <x:c r="F22" s="23"/>
      <x:c r="G22" s="23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42" t="str">
        <x:v>Total operating expense</x:v>
      </x:c>
      <x:c r="D23" s="43" t="n">
        <x:f>SUM(D12:D21)</x:f>
        <x:v>30</x:v>
      </x:c>
      <x:c r="E23" s="43" t="n">
        <x:f>SUM(E12:E21)</x:f>
        <x:v>45</x:v>
      </x:c>
      <x:c r="F23" s="43" t="n">
        <x:f>SUM(F12:F21)</x:f>
        <x:v>70</x:v>
      </x:c>
      <x:c r="G23" s="43" t="n">
        <x:f>SUM(G12:G21)</x:f>
        <x:v>90</x:v>
      </x:c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3"/>
      <x:c r="E24" s="23"/>
      <x:c r="F24" s="23"/>
      <x:c r="G24" s="23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 t="str">
        <x:v>User-supplied total (control)</x:v>
      </x:c>
      <x:c r="D25" s="37" t="n">
        <x:f>'Inputs'!D9</x:f>
        <x:v>30</x:v>
      </x:c>
      <x:c r="E25" s="37" t="n">
        <x:f>'Inputs'!E9</x:f>
        <x:v>45</x:v>
      </x:c>
      <x:c r="F25" s="37" t="n">
        <x:f>'Inputs'!F9</x:f>
        <x:v>70</x:v>
      </x:c>
      <x:c r="G25" s="37" t="n">
        <x:f>'Inputs'!G9</x:f>
        <x:v>90</x:v>
      </x:c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 t="str">
        <x:v>Detail less supplied total</x:v>
      </x:c>
      <x:c r="D26" s="44" t="n">
        <x:f>D23-D25</x:f>
        <x:v>0</x:v>
      </x:c>
      <x:c r="E26" s="44" t="n">
        <x:f>E23-E25</x:f>
        <x:v>0</x:v>
      </x:c>
      <x:c r="F26" s="44" t="n">
        <x:f>F23-F25</x:f>
        <x:v>0</x:v>
      </x:c>
      <x:c r="G26" s="44" t="n">
        <x:f>G23-G25</x:f>
        <x:v>0</x:v>
      </x:c>
      <x:c r="H26" s="2"/>
      <x:c r="I26" s="2"/>
      <x:c r="J26" s="2"/>
      <x:c r="K26" s="2"/>
      <x:c r="L26" s="2"/>
      <x:c r="M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 t="str">
        <x:v>Employee budgets are the supplied ₹10 / ₹20 / ₹41 / ₹60 crore. Fully loaded benefits are already included.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 t="str">
        <x:v>The per-employee figure uses average headcount. Changing headcount alone changes this implied rate, not the budget.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 t="str">
        <x:v>Manufacturing is separate from these operating expenses and remains in the annual financial model.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 t="str">
        <x:v>Source: final user expense table. Edit amounts in Inputs. The forecast follows the detailed expense sum.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</x:sheetData>
  <x:conditionalFormatting sqref="D26:G26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974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2"/>
      <x:c r="B2" s="2"/>
      <x:c r="C2" s="3" t="str">
        <x:v>Annual planning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2"/>
      <x:c r="C3" s="4" t="str">
        <x:v>Edit blue values on pale yellow. Financial years run from April to March.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8" customHeight="1">
      <x:c r="A5" s="2"/>
      <x:c r="B5" s="2"/>
      <x:c r="C5" s="14" t="str">
        <x:v>₹ crore</x:v>
      </x:c>
      <x:c r="D5" s="19" t="n">
        <x:v>45748</x:v>
      </x:c>
      <x:c r="E5" s="20" t="n">
        <x:v>46113</x:v>
      </x:c>
      <x:c r="F5" s="21" t="n">
        <x:v>46478</x:v>
      </x:c>
      <x:c r="G5" s="22" t="n">
        <x:v>46844</x:v>
      </x:c>
      <x:c r="H5" s="2"/>
      <x:c r="I5" s="31" t="str">
        <x:v>Assumptions and sources</x:v>
      </x:c>
      <x:c r="J5" s="2"/>
      <x:c r="K5" s="2"/>
      <x:c r="L5" s="2"/>
      <x:c r="M5" s="2"/>
    </x:row>
    <x:row r="6" ht="38" customHeight="1">
      <x:c r="A6" s="2"/>
      <x:c r="B6" s="2"/>
      <x:c r="C6" s="2" t="str">
        <x:v>Broad pipeline</x:v>
      </x:c>
      <x:c r="D6" s="29"/>
      <x:c r="E6" s="25" t="n">
        <x:v>3000</x:v>
      </x:c>
      <x:c r="F6" s="25" t="n">
        <x:v>6000</x:v>
      </x:c>
      <x:c r="G6" s="25" t="n">
        <x:v>12000</x:v>
      </x:c>
      <x:c r="H6" s="2"/>
      <x:c r="I6" s="32" t="str">
        <x:v>User revised table. Broad opportunities pursued, not weighted sales or orders.</x:v>
      </x:c>
      <x:c r="J6" s="2"/>
      <x:c r="K6" s="2"/>
      <x:c r="L6" s="2"/>
      <x:c r="M6" s="2"/>
    </x:row>
    <x:row r="7" ht="38" customHeight="1">
      <x:c r="A7" s="2"/>
      <x:c r="B7" s="2"/>
      <x:c r="C7" s="2" t="str">
        <x:v>Closed orders / order intake</x:v>
      </x:c>
      <x:c r="D7" s="25" t="n">
        <x:v>200</x:v>
      </x:c>
      <x:c r="E7" s="25" t="n">
        <x:v>300</x:v>
      </x:c>
      <x:c r="F7" s="25" t="n">
        <x:v>600</x:v>
      </x:c>
      <x:c r="G7" s="25" t="n">
        <x:v>1200</x:v>
      </x:c>
      <x:c r="H7" s="2"/>
      <x:c r="I7" s="32" t="str">
        <x:v>User revised table. Initial Army order assumed at ₹200 crore in FY25–26.</x:v>
      </x:c>
      <x:c r="J7" s="2"/>
      <x:c r="K7" s="2"/>
      <x:c r="L7" s="2"/>
      <x:c r="M7" s="2"/>
    </x:row>
    <x:row r="8" ht="38" customHeight="1">
      <x:c r="A8" s="2"/>
      <x:c r="B8" s="2"/>
      <x:c r="C8" s="2" t="str">
        <x:v>Revenue recognised</x:v>
      </x:c>
      <x:c r="D8" s="25" t="n">
        <x:v>0</x:v>
      </x:c>
      <x:c r="E8" s="25" t="n">
        <x:v>150</x:v>
      </x:c>
      <x:c r="F8" s="25" t="n">
        <x:v>300</x:v>
      </x:c>
      <x:c r="G8" s="25" t="n">
        <x:v>600</x:v>
      </x:c>
      <x:c r="H8" s="2"/>
      <x:c r="I8" s="32" t="str">
        <x:v>User revised table. Delivery milestone revenue, used as a collections proxy.</x:v>
      </x:c>
      <x:c r="J8" s="2"/>
      <x:c r="K8" s="2"/>
      <x:c r="L8" s="2"/>
      <x:c r="M8" s="2"/>
    </x:row>
    <x:row r="9" ht="38" customHeight="1">
      <x:c r="A9" s="2"/>
      <x:c r="B9" s="2"/>
      <x:c r="C9" s="2" t="str">
        <x:v>Supplied operating expense total</x:v>
      </x:c>
      <x:c r="D9" s="25" t="n">
        <x:v>30</x:v>
      </x:c>
      <x:c r="E9" s="25" t="n">
        <x:v>45</x:v>
      </x:c>
      <x:c r="F9" s="25" t="n">
        <x:v>70</x:v>
      </x:c>
      <x:c r="G9" s="25" t="n">
        <x:v>90</x:v>
      </x:c>
      <x:c r="H9" s="2"/>
      <x:c r="I9" s="32" t="str">
        <x:v>Final user expense table. Control totals only. Forecast uses the sum of the expense lines.</x:v>
      </x:c>
      <x:c r="J9" s="2"/>
      <x:c r="K9" s="2"/>
      <x:c r="L9" s="2"/>
      <x:c r="M9" s="2"/>
    </x:row>
    <x:row r="10" ht="38" customHeight="1">
      <x:c r="A10" s="2"/>
      <x:c r="B10" s="2"/>
      <x:c r="C10" s="4" t="str">
        <x:v>Manufacturing cash spend / new orders</x:v>
      </x:c>
      <x:c r="D10" s="30" t="n">
        <x:v>0</x:v>
      </x:c>
      <x:c r="E10" s="30" t="n">
        <x:v>0.3</x:v>
      </x:c>
      <x:c r="F10" s="30" t="n">
        <x:v>0.25</x:v>
      </x:c>
      <x:c r="G10" s="30" t="n">
        <x:v>0.2</x:v>
      </x:c>
      <x:c r="H10" s="2"/>
      <x:c r="I10" s="32" t="str">
        <x:v>User revised table. Applied to new annual orders, not recognised revenue.</x:v>
      </x:c>
      <x:c r="J10" s="2"/>
      <x:c r="K10" s="2"/>
      <x:c r="L10" s="2"/>
      <x:c r="M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31" t="str">
        <x:v>Opening balances at 1 April 2025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 t="str">
        <x:v>Opening India cash</x:v>
      </x:c>
      <x:c r="D14" s="25" t="n">
        <x:v>0</x:v>
      </x:c>
      <x:c r="E14" s="2"/>
      <x:c r="F14" s="2"/>
      <x:c r="G14" s="2"/>
      <x:c r="H14" s="2"/>
      <x:c r="I14" s="2" t="str">
        <x:v>User assumption: no opening India cash balance.</x:v>
      </x:c>
      <x:c r="J14" s="2"/>
      <x:c r="K14" s="2"/>
      <x:c r="L14" s="2"/>
      <x:c r="M14" s="2"/>
    </x:row>
    <x:row r="15" ht="24" customHeight="1">
      <x:c r="A15" s="2"/>
      <x:c r="B15" s="2"/>
      <x:c r="C15" s="2" t="str">
        <x:v>Opening order backlog</x:v>
      </x:c>
      <x:c r="D15" s="25" t="n">
        <x:v>0</x:v>
      </x:c>
      <x:c r="E15" s="2"/>
      <x:c r="F15" s="2"/>
      <x:c r="G15" s="2"/>
      <x:c r="H15" s="2"/>
      <x:c r="I15" s="2" t="str">
        <x:v>Assume no backlog before the initial ₹200 crore order.</x:v>
      </x:c>
      <x:c r="J15" s="2"/>
      <x:c r="K15" s="2"/>
      <x:c r="L15" s="2"/>
      <x:c r="M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31" t="str">
        <x:v>Operating expense scope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/>
      <x:c r="B19" s="2"/>
      <x:c r="C19" s="2" t="str">
        <x:v>Includes compensation, office, travel, training, software/IT, legal/admin and India operations.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31" t="str">
        <x:v>Funding model basis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 t="str">
        <x:v>Collections timing is intentionally not modelled. Revenue is assumed available in the same financial year.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 t="str">
        <x:v>Manufacturing cash spend is based on annual new orders. FY25–26 assumes no manufacturing cash spend.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 t="str">
        <x:v>No extra reserve, tax, financing flow or capex is added beyond the supplied annual spend.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 t="str">
        <x:v>Annual HQ support covers a negative balance after using prior retained surplus. Surpluses remain in India.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 t="str">
        <x:v>This replaces the earlier monthly ₹190 crore funding recommendation. It is not an 18-month cash test.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31" t="str">
        <x:v>Previous user baseline (comparison only)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 t="str">
        <x:v>Prior operating expenses</x:v>
      </x:c>
      <x:c r="D29" s="23" t="n">
        <x:v>30</x:v>
      </x:c>
      <x:c r="E29" s="23" t="n">
        <x:v>55</x:v>
      </x:c>
      <x:c r="F29" s="23" t="n">
        <x:v>85</x:v>
      </x:c>
      <x:c r="G29" s="23" t="n">
        <x:v>110</x:v>
      </x:c>
      <x:c r="H29" s="2"/>
      <x:c r="I29" s="2" t="str">
        <x:v>Previous accepted operating expense totals, before the final detailed expense table.</x:v>
      </x:c>
      <x:c r="J29" s="2"/>
      <x:c r="K29" s="2"/>
      <x:c r="L29" s="2"/>
      <x:c r="M29" s="2"/>
    </x:row>
    <x:row r="30" ht="24" customHeight="1">
      <x:c r="A30" s="2"/>
      <x:c r="B30" s="2"/>
      <x:c r="C30" s="2" t="str">
        <x:v>Prior cumulative HQ funding</x:v>
      </x:c>
      <x:c r="D30" s="23" t="n">
        <x:v>30</x:v>
      </x:c>
      <x:c r="E30" s="23" t="n">
        <x:v>30</x:v>
      </x:c>
      <x:c r="F30" s="23" t="n">
        <x:v>30</x:v>
      </x:c>
      <x:c r="G30" s="23" t="n">
        <x:v>30</x:v>
      </x:c>
      <x:c r="H30" s="2"/>
      <x:c r="I30" s="2" t="str">
        <x:v>Previous accepted annual model. Fixed comparison, not an active forecast.</x:v>
      </x:c>
      <x:c r="J30" s="2"/>
      <x:c r="K30" s="2"/>
      <x:c r="L30" s="2"/>
      <x:c r="M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 t="str">
        <x:v>Prior comparison values remain fixed when current assumptions change.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7" customHeight="1">
      <x:c r="A34" s="2"/>
      <x:c r="B34" s="2"/>
      <x:c r="C34" s="14" t="str">
        <x:v>Final expense assumptions</x:v>
      </x:c>
      <x:c r="D34" s="14"/>
      <x:c r="E34" s="14"/>
      <x:c r="F34" s="14"/>
      <x:c r="G34" s="14"/>
      <x:c r="H34" s="2"/>
      <x:c r="I34" s="2"/>
      <x:c r="J34" s="2"/>
      <x:c r="K34" s="2"/>
      <x:c r="L34" s="2"/>
      <x:c r="M34" s="2"/>
    </x:row>
    <x:row r="35" ht="28" customHeight="1">
      <x:c r="A35" s="2"/>
      <x:c r="B35" s="2"/>
      <x:c r="C35" s="14" t="str">
        <x:v>₹ crore</x:v>
      </x:c>
      <x:c r="D35" s="19" t="n">
        <x:v>45748</x:v>
      </x:c>
      <x:c r="E35" s="20" t="n">
        <x:v>46113</x:v>
      </x:c>
      <x:c r="F35" s="21" t="n">
        <x:v>46478</x:v>
      </x:c>
      <x:c r="G35" s="22" t="n">
        <x:v>46844</x:v>
      </x:c>
      <x:c r="H35" s="2"/>
      <x:c r="I35" s="31" t="str">
        <x:v>Source: final user expense table</x:v>
      </x:c>
      <x:c r="J35" s="2"/>
      <x:c r="K35" s="2"/>
      <x:c r="L35" s="2"/>
      <x:c r="M35" s="2"/>
    </x:row>
    <x:row r="36" ht="24" customHeight="1">
      <x:c r="A36" s="2"/>
      <x:c r="B36" s="2"/>
      <x:c r="C36" s="2" t="str">
        <x:v>Exit headcount</x:v>
      </x:c>
      <x:c r="D36" s="35" t="n">
        <x:v>15</x:v>
      </x:c>
      <x:c r="E36" s="35" t="n">
        <x:v>40</x:v>
      </x:c>
      <x:c r="F36" s="35" t="n">
        <x:v>75</x:v>
      </x:c>
      <x:c r="G36" s="35" t="n">
        <x:v>100</x:v>
      </x:c>
      <x:c r="H36" s="2"/>
      <x:c r="I36" s="2" t="str">
        <x:v>Final user table. Team scales during the year.</x:v>
      </x:c>
      <x:c r="J36" s="2"/>
      <x:c r="K36" s="2"/>
      <x:c r="L36" s="2"/>
      <x:c r="M36" s="2"/>
    </x:row>
    <x:row r="37" ht="24" customHeight="1">
      <x:c r="A37" s="2"/>
      <x:c r="B37" s="2"/>
      <x:c r="C37" s="2" t="str">
        <x:v>Approximate average headcount</x:v>
      </x:c>
      <x:c r="D37" s="35" t="n">
        <x:v>15</x:v>
      </x:c>
      <x:c r="E37" s="35" t="n">
        <x:v>29</x:v>
      </x:c>
      <x:c r="F37" s="35" t="n">
        <x:v>58</x:v>
      </x:c>
      <x:c r="G37" s="35" t="n">
        <x:v>86</x:v>
      </x:c>
      <x:c r="H37" s="2"/>
      <x:c r="I37" s="2" t="str">
        <x:v>Final user table. Use average headcount for employee cost comparisons.</x:v>
      </x:c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 t="str">
        <x:v>Employee cost</x:v>
      </x:c>
      <x:c r="D39" s="25" t="n">
        <x:v>10</x:v>
      </x:c>
      <x:c r="E39" s="25" t="n">
        <x:v>20</x:v>
      </x:c>
      <x:c r="F39" s="25" t="n">
        <x:v>41</x:v>
      </x:c>
      <x:c r="G39" s="25" t="n">
        <x:v>60</x:v>
      </x:c>
      <x:c r="H39" s="2"/>
      <x:c r="I39" s="2" t="str">
        <x:v>Fully loaded budget. Approximately ₹65–70 lakh per average employee.</x:v>
      </x:c>
      <x:c r="J39" s="2"/>
      <x:c r="K39" s="2"/>
      <x:c r="L39" s="2"/>
      <x:c r="M39" s="2"/>
    </x:row>
    <x:row r="40" ht="24" customHeight="1">
      <x:c r="A40" s="2"/>
      <x:c r="B40" s="2"/>
      <x:c r="C40" s="2" t="str">
        <x:v>Office / rent / facilities</x:v>
      </x:c>
      <x:c r="D40" s="25" t="n">
        <x:v>1.5</x:v>
      </x:c>
      <x:c r="E40" s="25" t="n">
        <x:v>2</x:v>
      </x:c>
      <x:c r="F40" s="25" t="n">
        <x:v>3</x:v>
      </x:c>
      <x:c r="G40" s="25" t="n">
        <x:v>4</x:v>
      </x:c>
      <x:c r="H40" s="2"/>
      <x:c r="I40" s="2" t="str">
        <x:v>Delhi and Bengaluru. Secure office and engineering facilities.</x:v>
      </x:c>
      <x:c r="J40" s="2"/>
      <x:c r="K40" s="2"/>
      <x:c r="L40" s="2"/>
      <x:c r="M40" s="2"/>
    </x:row>
    <x:row r="41" ht="24" customHeight="1">
      <x:c r="A41" s="2"/>
      <x:c r="B41" s="2"/>
      <x:c r="C41" s="2" t="str">
        <x:v>Travel and customer engagement</x:v>
      </x:c>
      <x:c r="D41" s="25" t="n">
        <x:v>4</x:v>
      </x:c>
      <x:c r="E41" s="25" t="n">
        <x:v>5</x:v>
      </x:c>
      <x:c r="F41" s="25" t="n">
        <x:v>6</x:v>
      </x:c>
      <x:c r="G41" s="25" t="n">
        <x:v>6</x:v>
      </x:c>
      <x:c r="H41" s="2"/>
      <x:c r="I41" s="2" t="str">
        <x:v>Customer visits, trials, MoD/services and US–India travel.</x:v>
      </x:c>
      <x:c r="J41" s="2"/>
      <x:c r="K41" s="2"/>
      <x:c r="L41" s="2"/>
      <x:c r="M41" s="2"/>
    </x:row>
    <x:row r="42" ht="38" customHeight="1">
      <x:c r="A42" s="2"/>
      <x:c r="B42" s="2"/>
      <x:c r="C42" s="32" t="str">
        <x:v>Training / global engineering support</x:v>
      </x:c>
      <x:c r="D42" s="25" t="n">
        <x:v>3</x:v>
      </x:c>
      <x:c r="E42" s="25" t="n">
        <x:v>3</x:v>
      </x:c>
      <x:c r="F42" s="25" t="n">
        <x:v>3</x:v>
      </x:c>
      <x:c r="G42" s="25" t="n">
        <x:v>3</x:v>
      </x:c>
      <x:c r="H42" s="2"/>
      <x:c r="I42" s="2" t="str">
        <x:v>Hivemind/V-BAT training, US specialists and knowledge transfer.</x:v>
      </x:c>
      <x:c r="J42" s="2"/>
      <x:c r="K42" s="2"/>
      <x:c r="L42" s="2"/>
      <x:c r="M42" s="2"/>
    </x:row>
    <x:row r="43" ht="38" customHeight="1">
      <x:c r="A43" s="2"/>
      <x:c r="B43" s="2"/>
      <x:c r="C43" s="32" t="str">
        <x:v>Government affairs / legal / compliance</x:v>
      </x:c>
      <x:c r="D43" s="25" t="n">
        <x:v>3</x:v>
      </x:c>
      <x:c r="E43" s="25" t="n">
        <x:v>3</x:v>
      </x:c>
      <x:c r="F43" s="25" t="n">
        <x:v>4</x:v>
      </x:c>
      <x:c r="G43" s="25" t="n">
        <x:v>4</x:v>
      </x:c>
      <x:c r="H43" s="2"/>
      <x:c r="I43" s="2" t="str">
        <x:v>Procurement, policy engagement, legal, regulatory and consultants.</x:v>
      </x:c>
      <x:c r="J43" s="2"/>
      <x:c r="K43" s="2"/>
      <x:c r="L43" s="2"/>
      <x:c r="M43" s="2"/>
    </x:row>
    <x:row r="44" ht="24" customHeight="1">
      <x:c r="A44" s="2"/>
      <x:c r="B44" s="2"/>
      <x:c r="C44" s="2" t="str">
        <x:v>IT / cloud / security / software</x:v>
      </x:c>
      <x:c r="D44" s="25" t="n">
        <x:v>1.5</x:v>
      </x:c>
      <x:c r="E44" s="25" t="n">
        <x:v>2</x:v>
      </x:c>
      <x:c r="F44" s="25" t="n">
        <x:v>3</x:v>
      </x:c>
      <x:c r="G44" s="25" t="n">
        <x:v>3</x:v>
      </x:c>
      <x:c r="H44" s="2"/>
      <x:c r="I44" s="2" t="str">
        <x:v>Engineering tools, security, cloud, devices and software.</x:v>
      </x:c>
      <x:c r="J44" s="2"/>
      <x:c r="K44" s="2"/>
      <x:c r="L44" s="2"/>
      <x:c r="M44" s="2"/>
    </x:row>
    <x:row r="45" ht="24" customHeight="1">
      <x:c r="A45" s="2"/>
      <x:c r="B45" s="2"/>
      <x:c r="C45" s="2" t="str">
        <x:v>Recruitment / relocation</x:v>
      </x:c>
      <x:c r="D45" s="25" t="n">
        <x:v>1</x:v>
      </x:c>
      <x:c r="E45" s="25" t="n">
        <x:v>2</x:v>
      </x:c>
      <x:c r="F45" s="25" t="n">
        <x:v>3</x:v>
      </x:c>
      <x:c r="G45" s="25" t="n">
        <x:v>2</x:v>
      </x:c>
      <x:c r="H45" s="2"/>
      <x:c r="I45" s="2" t="str">
        <x:v>Particularly heavy during the 15 to 40 to 75 headcount ramp.</x:v>
      </x:c>
      <x:c r="J45" s="2"/>
      <x:c r="K45" s="2"/>
      <x:c r="L45" s="2"/>
      <x:c r="M45" s="2"/>
    </x:row>
    <x:row r="46" ht="24" customHeight="1">
      <x:c r="A46" s="2"/>
      <x:c r="B46" s="2"/>
      <x:c r="C46" s="2" t="str">
        <x:v>Demonstrations / field support</x:v>
      </x:c>
      <x:c r="D46" s="25" t="n">
        <x:v>2</x:v>
      </x:c>
      <x:c r="E46" s="25" t="n">
        <x:v>3</x:v>
      </x:c>
      <x:c r="F46" s="25" t="n">
        <x:v>4</x:v>
      </x:c>
      <x:c r="G46" s="25" t="n">
        <x:v>4</x:v>
      </x:c>
      <x:c r="H46" s="2"/>
      <x:c r="I46" s="2" t="str">
        <x:v>Trials, demos, deployments and customer evaluation support.</x:v>
      </x:c>
      <x:c r="J46" s="2"/>
      <x:c r="K46" s="2"/>
      <x:c r="L46" s="2"/>
      <x:c r="M46" s="2"/>
    </x:row>
    <x:row r="47" ht="38" customHeight="1">
      <x:c r="A47" s="2"/>
      <x:c r="B47" s="2"/>
      <x:c r="C47" s="32" t="str">
        <x:v>G&amp;A / insurance / finance / miscellaneous</x:v>
      </x:c>
      <x:c r="D47" s="25" t="n">
        <x:v>2</x:v>
      </x:c>
      <x:c r="E47" s="25" t="n">
        <x:v>2</x:v>
      </x:c>
      <x:c r="F47" s="25" t="n">
        <x:v>3</x:v>
      </x:c>
      <x:c r="G47" s="25" t="n">
        <x:v>4</x:v>
      </x:c>
      <x:c r="H47" s="2"/>
      <x:c r="I47" s="2" t="str">
        <x:v>HR, finance, insurance, communications and administration.</x:v>
      </x:c>
      <x:c r="J47" s="2"/>
      <x:c r="K47" s="2"/>
      <x:c r="L47" s="2"/>
      <x:c r="M47" s="2"/>
    </x:row>
    <x:row r="48" ht="24" customHeight="1">
      <x:c r="A48" s="2"/>
      <x:c r="B48" s="2"/>
      <x:c r="C48" s="2" t="str">
        <x:v>Initial setup / contingency</x:v>
      </x:c>
      <x:c r="D48" s="25" t="n">
        <x:v>2</x:v>
      </x:c>
      <x:c r="E48" s="25" t="n">
        <x:v>3</x:v>
      </x:c>
      <x:c r="F48" s="25" t="n">
        <x:v>0</x:v>
      </x:c>
      <x:c r="G48" s="25" t="n">
        <x:v>0</x:v>
      </x:c>
      <x:c r="H48" s="2"/>
      <x:c r="I48" s="2" t="str">
        <x:v>Heavier in the first two years. Dashes in the user table are treated as zero.</x:v>
      </x:c>
      <x:c r="J48" s="2"/>
      <x:c r="K48" s="2"/>
      <x:c r="L48" s="2"/>
      <x:c r="M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</x:sheetData>
  <x:dataValidations count="4">
    <x:dataValidation type="decimal" operator="greaterThanOrEqual" sqref="D7:G9">
      <x:formula1>0</x:formula1>
    </x:dataValidation>
    <x:dataValidation type="decimal" operator="between" sqref="D10:G10">
      <x:formula1>0</x:formula1>
      <x:formula2>1</x:formula2>
    </x:dataValidation>
    <x:dataValidation type="whole" operator="greaterThanOrEqual" sqref="D36:G37">
      <x:formula1>0</x:formula1>
    </x:dataValidation>
    <x:dataValidation type="decimal" operator="greaterThanOrEqual" sqref="D39:G48">
      <x:formula1>0</x:formula1>
    </x:dataValidation>
  </x:dataValidations>
  <x:pageMargins left="0.7" right="0.7" top="0.75" bottom="0.75" header="0.3" footer="0.3"/>
</x:worksheet>
</file>